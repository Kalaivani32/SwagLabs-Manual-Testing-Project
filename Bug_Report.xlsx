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Report" sheetId="1" state="visible" r:id="rId3"/>
    <sheet name="Summary" sheetId="2" state="visible" r:id="rId4"/>
  </sheets>
  <definedNames>
    <definedName function="false" hidden="true" localSheetId="0" name="_xlnm._FilterDatabase" vbProcedure="false">'Bug Report'!$A$1:$K$8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<sst xmlns="http://schemas.openxmlformats.org/spreadsheetml/2006/main" count="99" uniqueCount="66">
  <si>
    <t xml:space="preserve">Bug ID</t>
  </si>
  <si>
    <t xml:space="preserve">Module</t>
  </si>
  <si>
    <t xml:space="preserve">Bug Title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</si>
  <si>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</si>
  <si>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</si>
  <si>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</si>
  <si>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</si>
  <si>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</si>
  <si>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</si>
  <si>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Reported By</t>
  </si>
  <si>
    <t xml:space="preserve">Environment</t>
  </si>
  <si>
    <t xml:space="preserve">BUG_001</t>
  </si>
  <si>
    <t xml:space="preserve">Login</t>
  </si>
  <si>
    <t xml:space="preserve">problem_user sees broken/mismatched product images</t>
  </si>
  <si>
    <t xml:space="preserve">1. Login with username: problem_user, password: secret_sauce
2. Land on Products page
3. Observe product images</t>
  </si>
  <si>
    <t xml:space="preserve">Each product should display its own correct image</t>
  </si>
  <si>
    <t xml:space="preserve">All products show the same incorrect dog image instead of their actual product image</t>
  </si>
  <si>
    <t xml:space="preserve">Medium</t>
  </si>
  <si>
    <t xml:space="preserve">P3</t>
  </si>
  <si>
    <t xml:space="preserve">Open</t>
  </si>
  <si>
    <t xml:space="preserve">QA Tester</t>
  </si>
  <si>
    <t xml:space="preserve">Chrome, saucedemo.com</t>
  </si>
  <si>
    <t xml:space="preserve">BUG_002</t>
  </si>
  <si>
    <t xml:space="preserve">performance_glitch_user experiences abnormal login delay</t>
  </si>
  <si>
    <t xml:space="preserve">1. Login with username: performance_glitch_user, password: secret_sauce
2. Click Login button
3. Observe time taken to load Products page</t>
  </si>
  <si>
    <t xml:space="preserve">Login should complete within 1-2 seconds like a standard user</t>
  </si>
  <si>
    <t xml:space="preserve">Login takes 5+ seconds to redirect to the Products page</t>
  </si>
  <si>
    <t xml:space="preserve">Low</t>
  </si>
  <si>
    <t xml:space="preserve">P4</t>
  </si>
  <si>
    <t xml:space="preserve">BUG_003</t>
  </si>
  <si>
    <t xml:space="preserve">Inventory</t>
  </si>
  <si>
    <t xml:space="preserve">Sort dropdown resets after navigating to product detail and back</t>
  </si>
  <si>
    <t xml:space="preserve">1. Login as standard_user
2. Sort products by 'Price (high to low)'
3. Click on any product to view details
4. Click 'Back to products'</t>
  </si>
  <si>
    <t xml:space="preserve">Selected sort order (Price high to low) should be retained</t>
  </si>
  <si>
    <t xml:space="preserve">Product list reverts to default sort order (Name A-Z)</t>
  </si>
  <si>
    <t xml:space="preserve">BUG_004</t>
  </si>
  <si>
    <t xml:space="preserve">Cart</t>
  </si>
  <si>
    <t xml:space="preserve">Cart badge count not updated immediately on slow network</t>
  </si>
  <si>
    <t xml:space="preserve">1. Login as performance_glitch_user
2. Add a product to cart from Products page
3. Observe cart icon badge immediately after click</t>
  </si>
  <si>
    <t xml:space="preserve">Cart badge should update to '1' immediately after adding item</t>
  </si>
  <si>
    <t xml:space="preserve">Cart badge remains blank for a few seconds before updating to '1'</t>
  </si>
  <si>
    <t xml:space="preserve">In Progress</t>
  </si>
  <si>
    <t xml:space="preserve">BUG_005</t>
  </si>
  <si>
    <t xml:space="preserve">Checkout</t>
  </si>
  <si>
    <t xml:space="preserve">No client-side validation message styling consistency</t>
  </si>
  <si>
    <t xml:space="preserve">1. Login as standard_user
2. Add item to cart and proceed to checkout
3. Leave all Checkout Information fields blank
4. Click Continue</t>
  </si>
  <si>
    <t xml:space="preserve">Error message should clearly indicate the first missing field (First Name)</t>
  </si>
  <si>
    <t xml:space="preserve">Error banner appears correctly, but styling/color contrast makes it hard to notice on first glance</t>
  </si>
  <si>
    <t xml:space="preserve">BUG_006</t>
  </si>
  <si>
    <t xml:space="preserve">Checkout allows proceeding with $0.00 cart to Overview page</t>
  </si>
  <si>
    <t xml:space="preserve">1. Login as standard_user
2. Do not add any items to cart
3. Open Cart page
4. Click Checkout, fill info, click Continue</t>
  </si>
  <si>
    <t xml:space="preserve">System should prevent checkout completion when cart is empty, or clearly indicate zero items</t>
  </si>
  <si>
    <t xml:space="preserve">Overview page loads showing $0.00 totals with no items listed, and Finish still completes an empty order</t>
  </si>
  <si>
    <t xml:space="preserve">BUG_007</t>
  </si>
  <si>
    <t xml:space="preserve">Menu</t>
  </si>
  <si>
    <t xml:space="preserve">'Reset App State' does not reset sort order</t>
  </si>
  <si>
    <t xml:space="preserve">1. Login as standard_user
2. Change sort order to 'Price (low to high)'
3. Open side menu and click 'Reset App State'</t>
  </si>
  <si>
    <t xml:space="preserve">Reset App State should restore sort order to default (Name A-Z) along with clearing the cart</t>
  </si>
  <si>
    <t xml:space="preserve">Cart is cleared correctly, but the sort order remains 'Price (low to high)'</t>
  </si>
  <si>
    <t xml:space="preserve">Bug Report - Summary</t>
  </si>
  <si>
    <t xml:space="preserve">Total Bugs</t>
  </si>
  <si>
    <t xml:space="preserve">Critical</t>
  </si>
  <si>
    <t xml:space="preserve">High</t>
  </si>
  <si>
    <t xml:space="preserve">Fixed</t>
  </si>
  <si>
    <t xml:space="preserve">Closed</t>
  </si>
  <si>
    <t xml:space="preserve">Won't Fix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</si>
</sst>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392B"/>
        <bgColor rgb="FF993366"/>
      </patternFill>
    </fill>
    <fill>
      <patternFill patternType="solid">
        <fgColor rgb="FFFBEEE6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FADBD8"/>
        <bgColor rgb="FFFDEBD0"/>
      </patternFill>
    </fill>
    <fill>
      <patternFill patternType="solid">
        <fgColor rgb="FFD5F5E3"/>
        <bgColor rgb="FFCCFFFF"/>
      </patternFill>
    </fill>
    <fill>
      <patternFill patternType="solid">
        <fgColor rgb="FFFCF3CF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0392B"/>
          <bgColor rgb="FF000000"/>
        </patternFill>
      </fill>
    </dxf>
    <dxf>
      <fill>
        <patternFill patternType="solid">
          <fgColor rgb="FFFBEE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3CF"/>
      <rgbColor rgb="FFFBEE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6" min="5" style="0" width="26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6.25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5" t="s">
        <v>17</v>
      </c>
      <c r="H2" s="3" t="s">
        <v>18</v>
      </c>
      <c r="I2" s="6" t="s">
        <v>19</v>
      </c>
      <c r="J2" s="3" t="s">
        <v>20</v>
      </c>
      <c r="K2" s="4" t="s">
        <v>21</v>
      </c>
    </row>
    <row r="3" customFormat="false" ht="57.45" hidden="false" customHeight="false" outlineLevel="0" collapsed="false">
      <c r="A3" s="7" t="s">
        <v>22</v>
      </c>
      <c r="B3" s="8" t="s">
        <v>12</v>
      </c>
      <c r="C3" s="9" t="s">
        <v>23</v>
      </c>
      <c r="D3" s="9" t="s">
        <v>24</v>
      </c>
      <c r="E3" s="9" t="s">
        <v>25</v>
      </c>
      <c r="F3" s="9" t="s">
        <v>26</v>
      </c>
      <c r="G3" s="10" t="s">
        <v>27</v>
      </c>
      <c r="H3" s="8" t="s">
        <v>28</v>
      </c>
      <c r="I3" s="6" t="s">
        <v>19</v>
      </c>
      <c r="J3" s="8" t="s">
        <v>20</v>
      </c>
      <c r="K3" s="9" t="s">
        <v>21</v>
      </c>
    </row>
    <row r="4" customFormat="false" ht="46.25" hidden="false" customHeight="false" outlineLevel="0" collapsed="false">
      <c r="A4" s="2" t="s">
        <v>29</v>
      </c>
      <c r="B4" s="3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10" t="s">
        <v>27</v>
      </c>
      <c r="H4" s="3" t="s">
        <v>28</v>
      </c>
      <c r="I4" s="6" t="s">
        <v>19</v>
      </c>
      <c r="J4" s="3" t="s">
        <v>20</v>
      </c>
      <c r="K4" s="4" t="s">
        <v>21</v>
      </c>
    </row>
    <row r="5" customFormat="false" ht="46.25" hidden="false" customHeight="false" outlineLevel="0" collapsed="false">
      <c r="A5" s="7" t="s">
        <v>35</v>
      </c>
      <c r="B5" s="8" t="s">
        <v>36</v>
      </c>
      <c r="C5" s="9" t="s">
        <v>37</v>
      </c>
      <c r="D5" s="9" t="s">
        <v>38</v>
      </c>
      <c r="E5" s="9" t="s">
        <v>39</v>
      </c>
      <c r="F5" s="9" t="s">
        <v>40</v>
      </c>
      <c r="G5" s="10" t="s">
        <v>27</v>
      </c>
      <c r="H5" s="8" t="s">
        <v>28</v>
      </c>
      <c r="I5" s="11" t="s">
        <v>41</v>
      </c>
      <c r="J5" s="8" t="s">
        <v>20</v>
      </c>
      <c r="K5" s="9" t="s">
        <v>21</v>
      </c>
    </row>
    <row r="6" customFormat="false" ht="46.25" hidden="false" customHeight="false" outlineLevel="0" collapsed="false">
      <c r="A6" s="2" t="s">
        <v>42</v>
      </c>
      <c r="B6" s="3" t="s">
        <v>43</v>
      </c>
      <c r="C6" s="4" t="s">
        <v>44</v>
      </c>
      <c r="D6" s="4" t="s">
        <v>45</v>
      </c>
      <c r="E6" s="4" t="s">
        <v>46</v>
      </c>
      <c r="F6" s="4" t="s">
        <v>47</v>
      </c>
      <c r="G6" s="10" t="s">
        <v>27</v>
      </c>
      <c r="H6" s="3" t="s">
        <v>18</v>
      </c>
      <c r="I6" s="6" t="s">
        <v>19</v>
      </c>
      <c r="J6" s="3" t="s">
        <v>20</v>
      </c>
      <c r="K6" s="4" t="s">
        <v>21</v>
      </c>
    </row>
    <row r="7" customFormat="false" ht="46.25" hidden="false" customHeight="false" outlineLevel="0" collapsed="false">
      <c r="A7" s="7" t="s">
        <v>48</v>
      </c>
      <c r="B7" s="8" t="s">
        <v>43</v>
      </c>
      <c r="C7" s="9" t="s">
        <v>49</v>
      </c>
      <c r="D7" s="9" t="s">
        <v>50</v>
      </c>
      <c r="E7" s="9" t="s">
        <v>51</v>
      </c>
      <c r="F7" s="9" t="s">
        <v>52</v>
      </c>
      <c r="G7" s="5" t="s">
        <v>17</v>
      </c>
      <c r="H7" s="8" t="s">
        <v>18</v>
      </c>
      <c r="I7" s="6" t="s">
        <v>19</v>
      </c>
      <c r="J7" s="8" t="s">
        <v>20</v>
      </c>
      <c r="K7" s="9" t="s">
        <v>21</v>
      </c>
    </row>
    <row r="8" customFormat="false" ht="35.05" hidden="false" customHeight="false" outlineLevel="0" collapsed="false">
      <c r="A8" s="2" t="s">
        <v>53</v>
      </c>
      <c r="B8" s="3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10" t="s">
        <v>27</v>
      </c>
      <c r="H8" s="3" t="s">
        <v>28</v>
      </c>
      <c r="I8" s="6" t="s">
        <v>19</v>
      </c>
      <c r="J8" s="3" t="s">
        <v>20</v>
      </c>
      <c r="K8" s="4" t="s">
        <v>21</v>
      </c>
    </row>
  </sheetData>
  <autoFilter ref="A1:K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2" t="s">
        <v>59</v>
      </c>
      <c r="B1" s="12"/>
    </row>
    <row r="3" customFormat="false" ht="15" hidden="false" customHeight="false" outlineLevel="0" collapsed="false">
      <c r="A3" s="13" t="s">
        <v>60</v>
      </c>
      <c r="B3" s="14" t="n">
        <f aca="false">COUNTA('Bug Report'!A2:A8)</f>
        <v>7</v>
      </c>
    </row>
    <row r="4" customFormat="false" ht="15" hidden="false" customHeight="false" outlineLevel="0" collapsed="false">
      <c r="A4" s="13" t="s">
        <v>61</v>
      </c>
      <c r="B4" s="14" t="n">
        <f aca="false">COUNTIF('Bug Report'!G2:G8,"Critical")</f>
        <v>0</v>
      </c>
    </row>
    <row r="5" customFormat="false" ht="15" hidden="false" customHeight="false" outlineLevel="0" collapsed="false">
      <c r="A5" s="13" t="s">
        <v>62</v>
      </c>
      <c r="B5" s="14" t="n">
        <f aca="false">COUNTIF('Bug Report'!G2:G8,"High")</f>
        <v>0</v>
      </c>
    </row>
    <row r="6" customFormat="false" ht="15" hidden="false" customHeight="false" outlineLevel="0" collapsed="false">
      <c r="A6" s="13" t="s">
        <v>17</v>
      </c>
      <c r="B6" s="14" t="n">
        <f aca="false">COUNTIF('Bug Report'!G2:G8,"Medium")</f>
        <v>2</v>
      </c>
    </row>
    <row r="7" customFormat="false" ht="15" hidden="false" customHeight="false" outlineLevel="0" collapsed="false">
      <c r="A7" s="13" t="s">
        <v>27</v>
      </c>
      <c r="B7" s="14" t="n">
        <f aca="false">COUNTIF('Bug Report'!G2:G8,"Low")</f>
        <v>5</v>
      </c>
    </row>
    <row r="8" customFormat="false" ht="15" hidden="false" customHeight="false" outlineLevel="0" collapsed="false">
      <c r="A8" s="13" t="s">
        <v>19</v>
      </c>
      <c r="B8" s="14" t="n">
        <f aca="false">COUNTIF('Bug Report'!I2:I8,"Open")</f>
        <v>6</v>
      </c>
    </row>
    <row r="9" customFormat="false" ht="15" hidden="false" customHeight="false" outlineLevel="0" collapsed="false">
      <c r="A9" s="13" t="s">
        <v>41</v>
      </c>
      <c r="B9" s="14" t="n">
        <f aca="false">COUNTIF('Bug Report'!I2:I8,"In Progress")</f>
        <v>1</v>
      </c>
    </row>
    <row r="10" customFormat="false" ht="15" hidden="false" customHeight="false" outlineLevel="0" collapsed="false">
      <c r="A10" s="13" t="s">
        <v>63</v>
      </c>
      <c r="B10" s="14" t="n">
        <f aca="false">COUNTIF('Bug Report'!I2:I8,"Fixed")</f>
        <v>0</v>
      </c>
    </row>
    <row r="11" customFormat="false" ht="15" hidden="false" customHeight="false" outlineLevel="0" collapsed="false">
      <c r="A11" s="13" t="s">
        <v>64</v>
      </c>
      <c r="B11" s="14" t="n">
        <f aca="false">COUNTIF('Bug Report'!I2:I8,"Closed")</f>
        <v>0</v>
      </c>
    </row>
    <row r="12" customFormat="false" ht="15" hidden="false" customHeight="false" outlineLevel="0" collapsed="false">
      <c r="A12" s="13" t="s">
        <v>65</v>
      </c>
      <c r="B12" s="14" t="n">
        <f aca="false">COUNTIF('Bug Report'!I2:I8,"Won't Fix")</f>
        <v>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2026-07-15T09:55:01Z</dcterms:created>
  <dc:creator>openpyxl</dc:creator>
  <dc:description/>
  <dc:language>en-US</dc:language>
  <cp:lastModifiedBy/>
  <dcterms:modified xsi:type="dcterms:W3CDTF">2026-07-15T09:55:01Z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